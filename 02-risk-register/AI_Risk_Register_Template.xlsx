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Worked Example" sheetId="2" state="visible" r:id="rId2"/>
    <sheet xmlns:r="http://schemas.openxmlformats.org/officeDocument/2006/relationships" name="Blank Template" sheetId="3" state="visible" r:id="rId3"/>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0F6E56"/>
      <sz val="22"/>
    </font>
    <font>
      <name val="Arial"/>
      <i val="1"/>
      <color rgb="00555555"/>
      <sz val="13"/>
    </font>
    <font>
      <name val="Arial"/>
      <color rgb="00555555"/>
      <sz val="11"/>
    </font>
    <font>
      <name val="Arial"/>
      <b val="1"/>
      <color rgb="001A1A1A"/>
      <sz val="14"/>
    </font>
    <font>
      <name val="Arial"/>
      <b val="1"/>
      <color rgb="000F6E56"/>
      <sz val="12"/>
    </font>
    <font>
      <name val="Arial"/>
      <color rgb="001A1A1A"/>
      <sz val="11"/>
    </font>
    <font>
      <name val="Arial"/>
      <b val="1"/>
      <color rgb="00639922"/>
      <sz val="11"/>
    </font>
    <font>
      <name val="Arial"/>
      <b val="1"/>
      <color rgb="00854F0B"/>
      <sz val="11"/>
    </font>
    <font>
      <name val="Arial"/>
      <b val="1"/>
      <color rgb="00791F1F"/>
      <sz val="11"/>
    </font>
    <font>
      <name val="Arial"/>
      <i val="1"/>
      <color rgb="00555555"/>
      <sz val="10.5"/>
    </font>
    <font>
      <name val="Arial"/>
      <i val="1"/>
      <color rgb="00555555"/>
      <sz val="9.5"/>
    </font>
    <font>
      <name val="Arial"/>
      <b val="1"/>
      <color rgb="00FFFFFF"/>
      <sz val="16"/>
    </font>
    <font>
      <name val="Arial"/>
      <b val="1"/>
      <color rgb="00FFFFFF"/>
      <sz val="10.5"/>
    </font>
    <font>
      <name val="Arial"/>
      <color rgb="001A1A1A"/>
      <sz val="10.5"/>
    </font>
    <font>
      <name val="Arial"/>
      <b val="1"/>
      <color rgb="001A1A1A"/>
      <sz val="10.5"/>
    </font>
  </fonts>
  <fills count="7">
    <fill>
      <patternFill/>
    </fill>
    <fill>
      <patternFill patternType="gray125"/>
    </fill>
    <fill>
      <patternFill patternType="solid">
        <fgColor rgb="00EAF3DE"/>
      </patternFill>
    </fill>
    <fill>
      <patternFill patternType="solid">
        <fgColor rgb="00FAEEDA"/>
      </patternFill>
    </fill>
    <fill>
      <patternFill patternType="solid">
        <fgColor rgb="00FCEBEB"/>
      </patternFill>
    </fill>
    <fill>
      <patternFill patternType="solid">
        <fgColor rgb="000F6E56"/>
      </patternFill>
    </fill>
    <fill>
      <patternFill patternType="solid">
        <fgColor rgb="000B544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2" borderId="0" pivotButton="0" quotePrefix="0" xfId="0"/>
    <xf numFmtId="0" fontId="8" fillId="3" borderId="0" pivotButton="0" quotePrefix="0" xfId="0"/>
    <xf numFmtId="0" fontId="9" fillId="4" borderId="0" pivotButton="0" quotePrefix="0" xfId="0"/>
    <xf numFmtId="0" fontId="10" fillId="0" borderId="0" pivotButton="0" quotePrefix="0" xfId="0"/>
    <xf numFmtId="0" fontId="11" fillId="0" borderId="0" applyAlignment="1" pivotButton="0" quotePrefix="0" xfId="0">
      <alignment vertical="top" wrapText="1"/>
    </xf>
    <xf numFmtId="0" fontId="12" fillId="5" borderId="0" applyAlignment="1" pivotButton="0" quotePrefix="0" xfId="0">
      <alignment horizontal="left" vertical="center" indent="1"/>
    </xf>
    <xf numFmtId="0" fontId="13" fillId="6" borderId="1" applyAlignment="1" pivotButton="0" quotePrefix="0" xfId="0">
      <alignment horizontal="center" vertical="center" wrapText="1"/>
    </xf>
    <xf numFmtId="0" fontId="14" fillId="0" borderId="1" applyAlignment="1" pivotButton="0" quotePrefix="0" xfId="0">
      <alignment horizontal="center" vertical="top" wrapText="1"/>
    </xf>
    <xf numFmtId="0" fontId="14" fillId="0" borderId="1" applyAlignment="1" pivotButton="0" quotePrefix="0" xfId="0">
      <alignment horizontal="left" vertical="top" wrapText="1"/>
    </xf>
    <xf numFmtId="0" fontId="15" fillId="0" borderId="1" applyAlignment="1" pivotButton="0" quotePrefix="0" xfId="0">
      <alignment horizontal="center" vertical="top" wrapText="1"/>
    </xf>
  </cellXfs>
  <cellStyles count="1">
    <cellStyle name="Normal" xfId="0" builtinId="0" hidden="0"/>
  </cellStyles>
  <dxfs count="3">
    <dxf>
      <fill>
        <patternFill patternType="solid">
          <fgColor rgb="00FCEBEB"/>
        </patternFill>
      </fill>
    </dxf>
    <dxf>
      <fill>
        <patternFill patternType="solid">
          <fgColor rgb="00FAEEDA"/>
        </patternFill>
      </fill>
    </dxf>
    <dxf>
      <fill>
        <patternFill patternType="solid">
          <fgColor rgb="00EAF3D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7"/>
  <sheetViews>
    <sheetView showGridLines="0" workbookViewId="0">
      <selection activeCell="A1" sqref="A1"/>
    </sheetView>
  </sheetViews>
  <sheetFormatPr baseColWidth="8" defaultRowHeight="15"/>
  <cols>
    <col width="4" customWidth="1" min="1" max="1"/>
    <col width="95" customWidth="1" min="2" max="2"/>
  </cols>
  <sheetData>
    <row r="2">
      <c r="B2" s="1" t="inlineStr">
        <is>
          <t>AI Risk Register</t>
        </is>
      </c>
    </row>
    <row r="3">
      <c r="B3" s="2" t="inlineStr">
        <is>
          <t>A reusable template for identifying, assessing, and tracking risks in AI systems</t>
        </is>
      </c>
    </row>
    <row r="5">
      <c r="B5" s="3" t="inlineStr">
        <is>
          <t>Prepared by Amisha Gupta  |  AI Governance Portfolio  |  August 2026</t>
        </is>
      </c>
    </row>
    <row r="7">
      <c r="B7" s="4" t="inlineStr">
        <is>
          <t>How this workbook is organised</t>
        </is>
      </c>
    </row>
    <row r="9">
      <c r="B9" s="5" t="inlineStr">
        <is>
          <t>•  Worked Example</t>
        </is>
      </c>
    </row>
    <row r="10" ht="32" customHeight="1">
      <c r="B10" s="6" t="inlineStr">
        <is>
          <t>A completed risk register for an AI-based market surveillance system, using the same case study as Portfolio Piece 1 (governance framework). Risk categories are mapped to real EU Market Abuse Regulation (MAR) Annex 1 indicators and NIST AI RMF functions.</t>
        </is>
      </c>
    </row>
    <row r="12">
      <c r="B12" s="5" t="inlineStr">
        <is>
          <t>•  Blank Template</t>
        </is>
      </c>
    </row>
    <row r="13" ht="32" customHeight="1">
      <c r="B13" s="6" t="inlineStr">
        <is>
          <t>An empty version of the same structure, ready to duplicate and use for a new AI system. Column headers, dropdown validations, and the risk scoring formula are pre-built.</t>
        </is>
      </c>
    </row>
    <row r="15">
      <c r="B15" s="4" t="inlineStr">
        <is>
          <t>How risk scoring works</t>
        </is>
      </c>
    </row>
    <row r="16">
      <c r="B16" s="7" t="inlineStr">
        <is>
          <t>Risk Score = Likelihood (1–5) × Impact (1–5). Score auto-calculates and colour-codes:</t>
        </is>
      </c>
    </row>
    <row r="17">
      <c r="B17" s="8" t="inlineStr">
        <is>
          <t xml:space="preserve">    1–6 = Low</t>
        </is>
      </c>
    </row>
    <row r="18">
      <c r="B18" s="9" t="inlineStr">
        <is>
          <t xml:space="preserve">    8–12 = Medium</t>
        </is>
      </c>
    </row>
    <row r="19">
      <c r="B19" s="10" t="inlineStr">
        <is>
          <t xml:space="preserve">    15–25 = High</t>
        </is>
      </c>
    </row>
    <row r="21">
      <c r="B21" s="4" t="inlineStr">
        <is>
          <t>Sources referenced in the worked example</t>
        </is>
      </c>
    </row>
    <row r="22">
      <c r="B22" s="11" t="inlineStr">
        <is>
          <t>•  Nasdaq Market Surveillance public product factsheet (nasdaq.com)</t>
        </is>
      </c>
    </row>
    <row r="23">
      <c r="B23" s="11" t="inlineStr">
        <is>
          <t>•  Nasdaq ‘Market Surveillance &amp; Market Abuse Regulation’ guide</t>
        </is>
      </c>
    </row>
    <row r="24">
      <c r="B24" s="11" t="inlineStr">
        <is>
          <t>•  Regulation (EU) No 596/2014 (Market Abuse Regulation), Annex 1</t>
        </is>
      </c>
    </row>
    <row r="25">
      <c r="B25" s="11" t="inlineStr">
        <is>
          <t>•  NIST AI Risk Management Framework (AI RMF 1.0, NIST AI 100-1)</t>
        </is>
      </c>
    </row>
    <row r="27" ht="40" customHeight="1">
      <c r="B27" s="12" t="inlineStr">
        <is>
          <t>Disclaimer: This is an independent template prepared for professional portfolio purposes, based on publicly available regulatory and product documentation. It is not affiliated with, or based on insider knowledge of, any exchange or vendor's internal systems.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showGridLines="0" workbookViewId="0">
      <pane ySplit="2" topLeftCell="A3" activePane="bottomLeft" state="frozen"/>
      <selection pane="bottomLeft" activeCell="A1" sqref="A1"/>
    </sheetView>
  </sheetViews>
  <sheetFormatPr baseColWidth="8" defaultRowHeight="15"/>
  <cols>
    <col width="9" customWidth="1" min="1" max="1"/>
    <col width="16" customWidth="1" min="2" max="2"/>
    <col width="34" customWidth="1" min="3" max="3"/>
    <col width="26" customWidth="1" min="4" max="4"/>
    <col width="12" customWidth="1" min="5" max="5"/>
    <col width="10" customWidth="1" min="6" max="6"/>
    <col width="10" customWidth="1" min="7" max="7"/>
    <col width="11" customWidth="1" min="8" max="8"/>
    <col width="34" customWidth="1" min="9" max="9"/>
    <col width="14" customWidth="1" min="10" max="10"/>
    <col width="12" customWidth="1" min="11" max="11"/>
    <col width="13" customWidth="1" min="12" max="12"/>
  </cols>
  <sheetData>
    <row r="1" ht="28" customHeight="1">
      <c r="A1" s="13" t="inlineStr">
        <is>
          <t>AI Risk Register — Worked Example: AI-Based Market Surveillance System</t>
        </is>
      </c>
    </row>
    <row r="2" ht="30" customHeight="1">
      <c r="A2" s="14" t="inlineStr">
        <is>
          <t>Risk ID</t>
        </is>
      </c>
      <c r="B2" s="14" t="inlineStr">
        <is>
          <t>Risk Category</t>
        </is>
      </c>
      <c r="C2" s="14" t="inlineStr">
        <is>
          <t>Risk Description</t>
        </is>
      </c>
      <c r="D2" s="14" t="inlineStr">
        <is>
          <t>Related Framework Reference</t>
        </is>
      </c>
      <c r="E2" s="14" t="inlineStr">
        <is>
          <t>Likelihood (1-5)</t>
        </is>
      </c>
      <c r="F2" s="14" t="inlineStr">
        <is>
          <t>Impact (1-5)</t>
        </is>
      </c>
      <c r="G2" s="14" t="inlineStr">
        <is>
          <t>Risk Score</t>
        </is>
      </c>
      <c r="H2" s="14" t="inlineStr">
        <is>
          <t>Risk Level</t>
        </is>
      </c>
      <c r="I2" s="14" t="inlineStr">
        <is>
          <t>Mitigation / Control</t>
        </is>
      </c>
      <c r="J2" s="14" t="inlineStr">
        <is>
          <t>Owner</t>
        </is>
      </c>
      <c r="K2" s="14" t="inlineStr">
        <is>
          <t>Status</t>
        </is>
      </c>
      <c r="L2" s="14" t="inlineStr">
        <is>
          <t>Last Reviewed</t>
        </is>
      </c>
    </row>
    <row r="3" ht="58" customHeight="1">
      <c r="A3" s="15" t="inlineStr">
        <is>
          <t>R-01</t>
        </is>
      </c>
      <c r="B3" s="16" t="inlineStr">
        <is>
          <t>Model Accuracy</t>
        </is>
      </c>
      <c r="C3" s="16" t="inlineStr">
        <is>
          <t>False positive: legitimate trading activity incorrectly flagged as manipulation, triggering unwarranted investigation.</t>
        </is>
      </c>
      <c r="D3" s="16" t="inlineStr">
        <is>
          <t>NIST – Measure</t>
        </is>
      </c>
      <c r="E3" s="15" t="n">
        <v>4</v>
      </c>
      <c r="F3" s="15" t="n">
        <v>3</v>
      </c>
      <c r="G3" s="17">
        <f>E3*F3</f>
        <v/>
      </c>
      <c r="H3" s="17">
        <f>IF(G3&gt;=15,"High",IF(G3&gt;=8,"Medium","Low"))</f>
        <v/>
      </c>
      <c r="I3" s="16" t="inlineStr">
        <is>
          <t>Quarterly false-positive rate review; analyst override and record-correction workflow.</t>
        </is>
      </c>
      <c r="J3" s="15" t="inlineStr">
        <is>
          <t>Compliance Lead</t>
        </is>
      </c>
      <c r="K3" s="15" t="inlineStr">
        <is>
          <t>Monitoring</t>
        </is>
      </c>
      <c r="L3" s="15" t="inlineStr">
        <is>
          <t>Jul 2026</t>
        </is>
      </c>
    </row>
    <row r="4" ht="58" customHeight="1">
      <c r="A4" s="15" t="inlineStr">
        <is>
          <t>R-02</t>
        </is>
      </c>
      <c r="B4" s="16" t="inlineStr">
        <is>
          <t>Model Accuracy</t>
        </is>
      </c>
      <c r="C4" s="16" t="inlineStr">
        <is>
          <t>False negative: real market manipulation goes undetected because it falls outside documented alert scenarios.</t>
        </is>
      </c>
      <c r="D4" s="16" t="inlineStr">
        <is>
          <t>MAR Annex 1 (non-exhaustive)</t>
        </is>
      </c>
      <c r="E4" s="15" t="n">
        <v>3</v>
      </c>
      <c r="F4" s="15" t="n">
        <v>5</v>
      </c>
      <c r="G4" s="17">
        <f>E4*F4</f>
        <v/>
      </c>
      <c r="H4" s="17">
        <f>IF(G4&gt;=15,"High",IF(G4&gt;=8,"Medium","Low"))</f>
        <v/>
      </c>
      <c r="I4" s="16" t="inlineStr">
        <is>
          <t>Periodic independent review of alert coverage beyond named MAR indicators; novel pattern testing.</t>
        </is>
      </c>
      <c r="J4" s="15" t="inlineStr">
        <is>
          <t>Surveillance Analytics</t>
        </is>
      </c>
      <c r="K4" s="15" t="inlineStr">
        <is>
          <t>Open</t>
        </is>
      </c>
      <c r="L4" s="15" t="inlineStr">
        <is>
          <t>Jul 2026</t>
        </is>
      </c>
    </row>
    <row r="5" ht="58" customHeight="1">
      <c r="A5" s="15" t="inlineStr">
        <is>
          <t>R-03</t>
        </is>
      </c>
      <c r="B5" s="16" t="inlineStr">
        <is>
          <t>Data Privacy</t>
        </is>
      </c>
      <c r="C5" s="16" t="inlineStr">
        <is>
          <t>Investigation records for cleared (false-positive) traders remain accessible beyond necessary retention, creating privacy exposure.</t>
        </is>
      </c>
      <c r="D5" s="16" t="inlineStr">
        <is>
          <t>NIST – Map</t>
        </is>
      </c>
      <c r="E5" s="15" t="n">
        <v>3</v>
      </c>
      <c r="F5" s="15" t="n">
        <v>4</v>
      </c>
      <c r="G5" s="17">
        <f>E5*F5</f>
        <v/>
      </c>
      <c r="H5" s="17">
        <f>IF(G5&gt;=15,"High",IF(G5&gt;=8,"Medium","Low"))</f>
        <v/>
      </c>
      <c r="I5" s="16" t="inlineStr">
        <is>
          <t>Defined data retention policy; least-privilege access restricted to authorised investigators only.</t>
        </is>
      </c>
      <c r="J5" s="15" t="inlineStr">
        <is>
          <t>Data Governance</t>
        </is>
      </c>
      <c r="K5" s="15" t="inlineStr">
        <is>
          <t>Mitigating</t>
        </is>
      </c>
      <c r="L5" s="15" t="inlineStr">
        <is>
          <t>Jun 2026</t>
        </is>
      </c>
    </row>
    <row r="6" ht="58" customHeight="1">
      <c r="A6" s="15" t="inlineStr">
        <is>
          <t>R-04</t>
        </is>
      </c>
      <c r="B6" s="16" t="inlineStr">
        <is>
          <t>Data Privacy</t>
        </is>
      </c>
      <c r="C6" s="16" t="inlineStr">
        <is>
          <t>Tension between MAR's requirement to retain communications data as evidence of intent, and data minimisation principles.</t>
        </is>
      </c>
      <c r="D6" s="16" t="inlineStr">
        <is>
          <t>MAR Art. 7–11</t>
        </is>
      </c>
      <c r="E6" s="15" t="n">
        <v>3</v>
      </c>
      <c r="F6" s="15" t="n">
        <v>3</v>
      </c>
      <c r="G6" s="17">
        <f>E6*F6</f>
        <v/>
      </c>
      <c r="H6" s="17">
        <f>IF(G6&gt;=15,"High",IF(G6&gt;=8,"Medium","Low"))</f>
        <v/>
      </c>
      <c r="I6" s="16" t="inlineStr">
        <is>
          <t>Retention period explicitly defined against MAR evidentiary requirements rather than default minimisation policy.</t>
        </is>
      </c>
      <c r="J6" s="15" t="inlineStr">
        <is>
          <t>Data Governance</t>
        </is>
      </c>
      <c r="K6" s="15" t="inlineStr">
        <is>
          <t>Monitoring</t>
        </is>
      </c>
      <c r="L6" s="15" t="inlineStr">
        <is>
          <t>Jun 2026</t>
        </is>
      </c>
    </row>
    <row r="7" ht="58" customHeight="1">
      <c r="A7" s="15" t="inlineStr">
        <is>
          <t>R-05</t>
        </is>
      </c>
      <c r="B7" s="16" t="inlineStr">
        <is>
          <t>Access Control</t>
        </is>
      </c>
      <c r="C7" s="16" t="inlineStr">
        <is>
          <t>Unauthorised or excessive access to model parameters and alert-logic configuration by personnel outside Compliance/Technology.</t>
        </is>
      </c>
      <c r="D7" s="16" t="inlineStr">
        <is>
          <t>NIST – Govern</t>
        </is>
      </c>
      <c r="E7" s="15" t="n">
        <v>2</v>
      </c>
      <c r="F7" s="15" t="n">
        <v>4</v>
      </c>
      <c r="G7" s="17">
        <f>E7*F7</f>
        <v/>
      </c>
      <c r="H7" s="17">
        <f>IF(G7&gt;=15,"High",IF(G7&gt;=8,"Medium","Low"))</f>
        <v/>
      </c>
      <c r="I7" s="16" t="inlineStr">
        <is>
          <t>Least-privilege access enforced on model parameters and training data; full audit logging of configuration changes.</t>
        </is>
      </c>
      <c r="J7" s="15" t="inlineStr">
        <is>
          <t>Technology / DevOps</t>
        </is>
      </c>
      <c r="K7" s="15" t="inlineStr">
        <is>
          <t>Closed</t>
        </is>
      </c>
      <c r="L7" s="15" t="inlineStr">
        <is>
          <t>May 2026</t>
        </is>
      </c>
    </row>
    <row r="8" ht="58" customHeight="1">
      <c r="A8" s="15" t="inlineStr">
        <is>
          <t>R-06</t>
        </is>
      </c>
      <c r="B8" s="16" t="inlineStr">
        <is>
          <t>Change Management</t>
        </is>
      </c>
      <c r="C8" s="16" t="inlineStr">
        <is>
          <t>A model or alert-logic update goes live without adequate explainability review or validation testing.</t>
        </is>
      </c>
      <c r="D8" s="16" t="inlineStr">
        <is>
          <t>NIST – Manage</t>
        </is>
      </c>
      <c r="E8" s="15" t="n">
        <v>2</v>
      </c>
      <c r="F8" s="15" t="n">
        <v>5</v>
      </c>
      <c r="G8" s="17">
        <f>E8*F8</f>
        <v/>
      </c>
      <c r="H8" s="17">
        <f>IF(G8&gt;=15,"High",IF(G8&gt;=8,"Medium","Low"))</f>
        <v/>
      </c>
      <c r="I8" s="16" t="inlineStr">
        <is>
          <t>Mandatory sign-off from both compliance and engineering leads before deployment; post-deployment test cases.</t>
        </is>
      </c>
      <c r="J8" s="15" t="inlineStr">
        <is>
          <t>Technology / DevOps</t>
        </is>
      </c>
      <c r="K8" s="15" t="inlineStr">
        <is>
          <t>Closed</t>
        </is>
      </c>
      <c r="L8" s="15" t="inlineStr">
        <is>
          <t>May 2026</t>
        </is>
      </c>
    </row>
    <row r="9" ht="58" customHeight="1">
      <c r="A9" s="15" t="inlineStr">
        <is>
          <t>R-07</t>
        </is>
      </c>
      <c r="B9" s="16" t="inlineStr">
        <is>
          <t>Regulatory Coverage</t>
        </is>
      </c>
      <c r="C9" s="16" t="inlineStr">
        <is>
          <t>Alert logic fails to keep pace with MAR's explicitly non-exhaustive indicator list, leaving new manipulation tactics unmonitored.</t>
        </is>
      </c>
      <c r="D9" s="16" t="inlineStr">
        <is>
          <t>MAR Annex 1</t>
        </is>
      </c>
      <c r="E9" s="15" t="n">
        <v>3</v>
      </c>
      <c r="F9" s="15" t="n">
        <v>4</v>
      </c>
      <c r="G9" s="17">
        <f>E9*F9</f>
        <v/>
      </c>
      <c r="H9" s="17">
        <f>IF(G9&gt;=15,"High",IF(G9&gt;=8,"Medium","Low"))</f>
        <v/>
      </c>
      <c r="I9" s="16" t="inlineStr">
        <is>
          <t>Fixed periodic (quarterly) review cycle for alert coverage; not treated as a one-time compliance exercise.</t>
        </is>
      </c>
      <c r="J9" s="15" t="inlineStr">
        <is>
          <t>Compliance Lead</t>
        </is>
      </c>
      <c r="K9" s="15" t="inlineStr">
        <is>
          <t>Open</t>
        </is>
      </c>
      <c r="L9" s="15" t="inlineStr">
        <is>
          <t>Jul 2026</t>
        </is>
      </c>
    </row>
    <row r="10" ht="58" customHeight="1">
      <c r="A10" s="15" t="inlineStr">
        <is>
          <t>R-08</t>
        </is>
      </c>
      <c r="B10" s="16" t="inlineStr">
        <is>
          <t>Third-Party Data</t>
        </is>
      </c>
      <c r="C10" s="16" t="inlineStr">
        <is>
          <t>News sentiment and other third-party data feeds used in model input introduce unverified or manipulated information.</t>
        </is>
      </c>
      <c r="D10" s="16" t="inlineStr">
        <is>
          <t>NIST – Map</t>
        </is>
      </c>
      <c r="E10" s="15" t="n">
        <v>2</v>
      </c>
      <c r="F10" s="15" t="n">
        <v>3</v>
      </c>
      <c r="G10" s="17">
        <f>E10*F10</f>
        <v/>
      </c>
      <c r="H10" s="17">
        <f>IF(G10&gt;=15,"High",IF(G10&gt;=8,"Medium","Low"))</f>
        <v/>
      </c>
      <c r="I10" s="16" t="inlineStr">
        <is>
          <t>Third-party data source risk mapped and reviewed as a dependency; source reliability scoring applied.</t>
        </is>
      </c>
      <c r="J10" s="15" t="inlineStr">
        <is>
          <t>Data Governance</t>
        </is>
      </c>
      <c r="K10" s="15" t="inlineStr">
        <is>
          <t>Monitoring</t>
        </is>
      </c>
      <c r="L10" s="15" t="inlineStr">
        <is>
          <t>Jun 2026</t>
        </is>
      </c>
    </row>
    <row r="11" ht="58" customHeight="1">
      <c r="A11" s="15" t="inlineStr">
        <is>
          <t>R-09</t>
        </is>
      </c>
      <c r="B11" s="16" t="inlineStr">
        <is>
          <t>Model Drift</t>
        </is>
      </c>
      <c r="C11" s="16" t="inlineStr">
        <is>
          <t>Detection accuracy degrades over time as real trading patterns evolve, without being detected by static benchmarks.</t>
        </is>
      </c>
      <c r="D11" s="16" t="inlineStr">
        <is>
          <t>NIST – Measure</t>
        </is>
      </c>
      <c r="E11" s="15" t="n">
        <v>3</v>
      </c>
      <c r="F11" s="15" t="n">
        <v>4</v>
      </c>
      <c r="G11" s="17">
        <f>E11*F11</f>
        <v/>
      </c>
      <c r="H11" s="17">
        <f>IF(G11&gt;=15,"High",IF(G11&gt;=8,"Medium","Low"))</f>
        <v/>
      </c>
      <c r="I11" s="16" t="inlineStr">
        <is>
          <t>Continuous tracking of detection accuracy and false positive/negative trend against defined benchmarks.</t>
        </is>
      </c>
      <c r="J11" s="15" t="inlineStr">
        <is>
          <t>Surveillance Analytics</t>
        </is>
      </c>
      <c r="K11" s="15" t="inlineStr">
        <is>
          <t>Monitoring</t>
        </is>
      </c>
      <c r="L11" s="15" t="inlineStr">
        <is>
          <t>Jul 2026</t>
        </is>
      </c>
    </row>
    <row r="12" ht="58" customHeight="1">
      <c r="A12" s="15" t="inlineStr">
        <is>
          <t>R-10</t>
        </is>
      </c>
      <c r="B12" s="16" t="inlineStr">
        <is>
          <t>Incident Response</t>
        </is>
      </c>
      <c r="C12" s="16" t="inlineStr">
        <is>
          <t>No defined remediation path exists for communicating with a trader wrongly flagged and investigated.</t>
        </is>
      </c>
      <c r="D12" s="16" t="inlineStr">
        <is>
          <t>NIST – Manage</t>
        </is>
      </c>
      <c r="E12" s="15" t="n">
        <v>2</v>
      </c>
      <c r="F12" s="15" t="n">
        <v>3</v>
      </c>
      <c r="G12" s="17">
        <f>E12*F12</f>
        <v/>
      </c>
      <c r="H12" s="17">
        <f>IF(G12&gt;=15,"High",IF(G12&gt;=8,"Medium","Low"))</f>
        <v/>
      </c>
      <c r="I12" s="16" t="inlineStr">
        <is>
          <t>Formal false-positive escalation playbook with defined remediation path and communication protocol.</t>
        </is>
      </c>
      <c r="J12" s="15" t="inlineStr">
        <is>
          <t>Compliance Lead</t>
        </is>
      </c>
      <c r="K12" s="15" t="inlineStr">
        <is>
          <t>Closed</t>
        </is>
      </c>
      <c r="L12" s="15" t="inlineStr">
        <is>
          <t>May 2026</t>
        </is>
      </c>
    </row>
  </sheetData>
  <mergeCells count="1">
    <mergeCell ref="A1:L1"/>
  </mergeCells>
  <conditionalFormatting sqref="H3:H32">
    <cfRule type="cellIs" priority="1" operator="equal" dxfId="0">
      <formula>"High"</formula>
    </cfRule>
    <cfRule type="cellIs" priority="2" operator="equal" dxfId="1">
      <formula>"Medium"</formula>
    </cfRule>
    <cfRule type="cellIs" priority="3" operator="equal" dxfId="2">
      <formula>"Low"</formula>
    </cfRule>
  </conditionalFormatting>
  <dataValidations count="3">
    <dataValidation sqref="E3:E32" showDropDown="0" showInputMessage="0" showErrorMessage="0" allowBlank="1" type="list">
      <formula1>"1,2,3,4,5"</formula1>
    </dataValidation>
    <dataValidation sqref="F3:F32" showDropDown="0" showInputMessage="0" showErrorMessage="0" allowBlank="1" type="list">
      <formula1>"1,2,3,4,5"</formula1>
    </dataValidation>
    <dataValidation sqref="K3:K32" showDropDown="0" showInputMessage="0" showErrorMessage="0" allowBlank="1" type="list">
      <formula1>"Open,Mitigating,Monitoring,Closed"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showGridLines="0" workbookViewId="0">
      <pane ySplit="2" topLeftCell="A3" activePane="bottomLeft" state="frozen"/>
      <selection pane="bottomLeft" activeCell="A1" sqref="A1"/>
    </sheetView>
  </sheetViews>
  <sheetFormatPr baseColWidth="8" defaultRowHeight="15"/>
  <cols>
    <col width="9" customWidth="1" min="1" max="1"/>
    <col width="16" customWidth="1" min="2" max="2"/>
    <col width="34" customWidth="1" min="3" max="3"/>
    <col width="26" customWidth="1" min="4" max="4"/>
    <col width="12" customWidth="1" min="5" max="5"/>
    <col width="10" customWidth="1" min="6" max="6"/>
    <col width="10" customWidth="1" min="7" max="7"/>
    <col width="11" customWidth="1" min="8" max="8"/>
    <col width="34" customWidth="1" min="9" max="9"/>
    <col width="14" customWidth="1" min="10" max="10"/>
    <col width="12" customWidth="1" min="11" max="11"/>
    <col width="13" customWidth="1" min="12" max="12"/>
  </cols>
  <sheetData>
    <row r="1" ht="28" customHeight="1">
      <c r="A1" s="13" t="inlineStr">
        <is>
          <t>AI Risk Register — Blank Template (duplicate this sheet for a new system)</t>
        </is>
      </c>
    </row>
    <row r="2" ht="30" customHeight="1">
      <c r="A2" s="14" t="inlineStr">
        <is>
          <t>Risk ID</t>
        </is>
      </c>
      <c r="B2" s="14" t="inlineStr">
        <is>
          <t>Risk Category</t>
        </is>
      </c>
      <c r="C2" s="14" t="inlineStr">
        <is>
          <t>Risk Description</t>
        </is>
      </c>
      <c r="D2" s="14" t="inlineStr">
        <is>
          <t>Related Framework Reference</t>
        </is>
      </c>
      <c r="E2" s="14" t="inlineStr">
        <is>
          <t>Likelihood (1-5)</t>
        </is>
      </c>
      <c r="F2" s="14" t="inlineStr">
        <is>
          <t>Impact (1-5)</t>
        </is>
      </c>
      <c r="G2" s="14" t="inlineStr">
        <is>
          <t>Risk Score</t>
        </is>
      </c>
      <c r="H2" s="14" t="inlineStr">
        <is>
          <t>Risk Level</t>
        </is>
      </c>
      <c r="I2" s="14" t="inlineStr">
        <is>
          <t>Mitigation / Control</t>
        </is>
      </c>
      <c r="J2" s="14" t="inlineStr">
        <is>
          <t>Owner</t>
        </is>
      </c>
      <c r="K2" s="14" t="inlineStr">
        <is>
          <t>Status</t>
        </is>
      </c>
      <c r="L2" s="14" t="inlineStr">
        <is>
          <t>Last Reviewed</t>
        </is>
      </c>
    </row>
    <row r="3" ht="58" customHeight="1">
      <c r="A3" s="15" t="inlineStr">
        <is>
          <t>R-01</t>
        </is>
      </c>
      <c r="B3" s="16" t="inlineStr">
        <is>
          <t>e.g. Model Accuracy</t>
        </is>
      </c>
      <c r="C3" s="16" t="inlineStr">
        <is>
          <t>e.g. Describe the specific risk this AI system could create</t>
        </is>
      </c>
      <c r="D3" s="16" t="inlineStr">
        <is>
          <t>e.g. NIST – Govern / Map / Measure / Manage, or a named regulation</t>
        </is>
      </c>
      <c r="E3" s="15" t="n">
        <v>3</v>
      </c>
      <c r="F3" s="15" t="n">
        <v>3</v>
      </c>
      <c r="G3" s="17">
        <f>E3*F3</f>
        <v/>
      </c>
      <c r="H3" s="17">
        <f>IF(G3&gt;=15,"High",IF(G3&gt;=8,"Medium","Low"))</f>
        <v/>
      </c>
      <c r="I3" s="16" t="inlineStr">
        <is>
          <t>e.g. The control or process that reduces this risk</t>
        </is>
      </c>
      <c r="J3" s="15" t="inlineStr">
        <is>
          <t>e.g. Team or role name</t>
        </is>
      </c>
      <c r="K3" s="15" t="inlineStr">
        <is>
          <t>Open</t>
        </is>
      </c>
      <c r="L3" s="15" t="inlineStr">
        <is>
          <t>e.g. Jan 2026</t>
        </is>
      </c>
    </row>
    <row r="4" ht="40" customHeight="1">
      <c r="A4" s="15" t="n"/>
      <c r="B4" s="16" t="n"/>
      <c r="C4" s="16" t="n"/>
      <c r="D4" s="16" t="n"/>
      <c r="E4" s="15" t="n"/>
      <c r="F4" s="15" t="n"/>
      <c r="G4" s="17">
        <f>E4*F4</f>
        <v/>
      </c>
      <c r="H4" s="17">
        <f>IF(G4&gt;=15,"High",IF(G4&gt;=8,"Medium","Low"))</f>
        <v/>
      </c>
      <c r="I4" s="16" t="n"/>
      <c r="J4" s="15" t="n"/>
      <c r="K4" s="15" t="n"/>
      <c r="L4" s="15" t="n"/>
    </row>
    <row r="5" ht="40" customHeight="1">
      <c r="A5" s="15" t="n"/>
      <c r="B5" s="16" t="n"/>
      <c r="C5" s="16" t="n"/>
      <c r="D5" s="16" t="n"/>
      <c r="E5" s="15" t="n"/>
      <c r="F5" s="15" t="n"/>
      <c r="G5" s="17">
        <f>E5*F5</f>
        <v/>
      </c>
      <c r="H5" s="17">
        <f>IF(G5&gt;=15,"High",IF(G5&gt;=8,"Medium","Low"))</f>
        <v/>
      </c>
      <c r="I5" s="16" t="n"/>
      <c r="J5" s="15" t="n"/>
      <c r="K5" s="15" t="n"/>
      <c r="L5" s="15" t="n"/>
    </row>
    <row r="6" ht="40" customHeight="1">
      <c r="A6" s="15" t="n"/>
      <c r="B6" s="16" t="n"/>
      <c r="C6" s="16" t="n"/>
      <c r="D6" s="16" t="n"/>
      <c r="E6" s="15" t="n"/>
      <c r="F6" s="15" t="n"/>
      <c r="G6" s="17">
        <f>E6*F6</f>
        <v/>
      </c>
      <c r="H6" s="17">
        <f>IF(G6&gt;=15,"High",IF(G6&gt;=8,"Medium","Low"))</f>
        <v/>
      </c>
      <c r="I6" s="16" t="n"/>
      <c r="J6" s="15" t="n"/>
      <c r="K6" s="15" t="n"/>
      <c r="L6" s="15" t="n"/>
    </row>
    <row r="7" ht="40" customHeight="1">
      <c r="A7" s="15" t="n"/>
      <c r="B7" s="16" t="n"/>
      <c r="C7" s="16" t="n"/>
      <c r="D7" s="16" t="n"/>
      <c r="E7" s="15" t="n"/>
      <c r="F7" s="15" t="n"/>
      <c r="G7" s="17">
        <f>E7*F7</f>
        <v/>
      </c>
      <c r="H7" s="17">
        <f>IF(G7&gt;=15,"High",IF(G7&gt;=8,"Medium","Low"))</f>
        <v/>
      </c>
      <c r="I7" s="16" t="n"/>
      <c r="J7" s="15" t="n"/>
      <c r="K7" s="15" t="n"/>
      <c r="L7" s="15" t="n"/>
    </row>
    <row r="8" ht="40" customHeight="1">
      <c r="A8" s="15" t="n"/>
      <c r="B8" s="16" t="n"/>
      <c r="C8" s="16" t="n"/>
      <c r="D8" s="16" t="n"/>
      <c r="E8" s="15" t="n"/>
      <c r="F8" s="15" t="n"/>
      <c r="G8" s="17">
        <f>E8*F8</f>
        <v/>
      </c>
      <c r="H8" s="17">
        <f>IF(G8&gt;=15,"High",IF(G8&gt;=8,"Medium","Low"))</f>
        <v/>
      </c>
      <c r="I8" s="16" t="n"/>
      <c r="J8" s="15" t="n"/>
      <c r="K8" s="15" t="n"/>
      <c r="L8" s="15" t="n"/>
    </row>
    <row r="9" ht="40" customHeight="1">
      <c r="A9" s="15" t="n"/>
      <c r="B9" s="16" t="n"/>
      <c r="C9" s="16" t="n"/>
      <c r="D9" s="16" t="n"/>
      <c r="E9" s="15" t="n"/>
      <c r="F9" s="15" t="n"/>
      <c r="G9" s="17">
        <f>E9*F9</f>
        <v/>
      </c>
      <c r="H9" s="17">
        <f>IF(G9&gt;=15,"High",IF(G9&gt;=8,"Medium","Low"))</f>
        <v/>
      </c>
      <c r="I9" s="16" t="n"/>
      <c r="J9" s="15" t="n"/>
      <c r="K9" s="15" t="n"/>
      <c r="L9" s="15" t="n"/>
    </row>
    <row r="10" ht="40" customHeight="1">
      <c r="A10" s="15" t="n"/>
      <c r="B10" s="16" t="n"/>
      <c r="C10" s="16" t="n"/>
      <c r="D10" s="16" t="n"/>
      <c r="E10" s="15" t="n"/>
      <c r="F10" s="15" t="n"/>
      <c r="G10" s="17">
        <f>E10*F10</f>
        <v/>
      </c>
      <c r="H10" s="17">
        <f>IF(G10&gt;=15,"High",IF(G10&gt;=8,"Medium","Low"))</f>
        <v/>
      </c>
      <c r="I10" s="16" t="n"/>
      <c r="J10" s="15" t="n"/>
      <c r="K10" s="15" t="n"/>
      <c r="L10" s="15" t="n"/>
    </row>
    <row r="11" ht="40" customHeight="1">
      <c r="A11" s="15" t="n"/>
      <c r="B11" s="16" t="n"/>
      <c r="C11" s="16" t="n"/>
      <c r="D11" s="16" t="n"/>
      <c r="E11" s="15" t="n"/>
      <c r="F11" s="15" t="n"/>
      <c r="G11" s="17">
        <f>E11*F11</f>
        <v/>
      </c>
      <c r="H11" s="17">
        <f>IF(G11&gt;=15,"High",IF(G11&gt;=8,"Medium","Low"))</f>
        <v/>
      </c>
      <c r="I11" s="16" t="n"/>
      <c r="J11" s="15" t="n"/>
      <c r="K11" s="15" t="n"/>
      <c r="L11" s="15" t="n"/>
    </row>
    <row r="12" ht="40" customHeight="1">
      <c r="A12" s="15" t="n"/>
      <c r="B12" s="16" t="n"/>
      <c r="C12" s="16" t="n"/>
      <c r="D12" s="16" t="n"/>
      <c r="E12" s="15" t="n"/>
      <c r="F12" s="15" t="n"/>
      <c r="G12" s="17">
        <f>E12*F12</f>
        <v/>
      </c>
      <c r="H12" s="17">
        <f>IF(G12&gt;=15,"High",IF(G12&gt;=8,"Medium","Low"))</f>
        <v/>
      </c>
      <c r="I12" s="16" t="n"/>
      <c r="J12" s="15" t="n"/>
      <c r="K12" s="15" t="n"/>
      <c r="L12" s="15" t="n"/>
    </row>
  </sheetData>
  <mergeCells count="1">
    <mergeCell ref="A1:L1"/>
  </mergeCells>
  <conditionalFormatting sqref="H3:H23">
    <cfRule type="cellIs" priority="1" operator="equal" dxfId="0">
      <formula>"High"</formula>
    </cfRule>
    <cfRule type="cellIs" priority="2" operator="equal" dxfId="1">
      <formula>"Medium"</formula>
    </cfRule>
    <cfRule type="cellIs" priority="3" operator="equal" dxfId="2">
      <formula>"Low"</formula>
    </cfRule>
  </conditionalFormatting>
  <dataValidations count="3">
    <dataValidation sqref="E3:E23" showDropDown="0" showInputMessage="0" showErrorMessage="0" allowBlank="1" type="list">
      <formula1>"1,2,3,4,5"</formula1>
    </dataValidation>
    <dataValidation sqref="F3:F23" showDropDown="0" showInputMessage="0" showErrorMessage="0" allowBlank="1" type="list">
      <formula1>"1,2,3,4,5"</formula1>
    </dataValidation>
    <dataValidation sqref="K3:K23" showDropDown="0" showInputMessage="0" showErrorMessage="0" allowBlank="1" type="list">
      <formula1>"Open,Mitigating,Monitoring,Closed"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2026-08-06T17:43:38Z</dcterms:created>
  <dcterms:modified xmlns:dcterms="http://purl.org/dc/terms/" xmlns:xsi="http://www.w3.org/2001/XMLSchema-instance" xsi:type="dcterms:W3CDTF">2026-08-06T17:43:38Z</dcterms:modified>
</cp:coreProperties>
</file>